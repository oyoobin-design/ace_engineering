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소스매핑" sheetId="1" state="visible" r:id="rId3"/>
    <sheet name="워치리스트" sheetId="2" state="visible" r:id="rId4"/>
    <sheet name="요약" sheetId="3" state="visible" r:id="rId5"/>
    <sheet name="출처·주석" sheetId="4" state="visible" r:id="rId6"/>
  </sheets>
  <definedNames>
    <definedName function="false" hidden="true" localSheetId="1" name="_xlnm._FilterDatabase" vbProcedure="false">워치리스트!$A$1:$J$29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<sst xmlns="http://schemas.openxmlformats.org/spreadsheetml/2006/main" count="291" uniqueCount="143">
  <si>
    <t xml:space="preserve">국적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</si>
  <si>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차 데이터소스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</si>
  <si>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미국</t>
  </si>
  <si>
    <t xml:space="preserve">SEC EDGAR</t>
  </si>
  <si>
    <r>
      <rPr>
        <i val="true"/>
        <sz val="9"/>
        <color rgb="FF6B7280"/>
        <rFont val="DejaVu Sans"/>
        <family val="2"/>
      </rPr>
      <t xml:space="preserve">규칙</t>
    </r>
    <r>
      <rPr>
        <i val="true"/>
        <sz val="9"/>
        <color rgb="FF6B7280"/>
        <rFont val="Arial"/>
        <family val="0"/>
        <charset val="1"/>
      </rPr>
      <t xml:space="preserve">: </t>
    </r>
    <r>
      <rPr>
        <i val="true"/>
        <sz val="9"/>
        <color rgb="FF6B7280"/>
        <rFont val="DejaVu Sans"/>
        <family val="2"/>
      </rPr>
      <t xml:space="preserve">한국</t>
    </r>
    <r>
      <rPr>
        <i val="true"/>
        <sz val="9"/>
        <color rgb="FF6B7280"/>
        <rFont val="Arial"/>
        <family val="0"/>
        <charset val="1"/>
      </rPr>
      <t xml:space="preserve">=DART, </t>
    </r>
    <r>
      <rPr>
        <i val="true"/>
        <sz val="9"/>
        <color rgb="FF6B7280"/>
        <rFont val="DejaVu Sans"/>
        <family val="2"/>
      </rPr>
      <t xml:space="preserve">미국 비상장</t>
    </r>
    <r>
      <rPr>
        <i val="true"/>
        <sz val="9"/>
        <color rgb="FF6B7280"/>
        <rFont val="Arial"/>
        <family val="0"/>
        <charset val="1"/>
      </rPr>
      <t xml:space="preserve">=</t>
    </r>
    <r>
      <rPr>
        <i val="true"/>
        <sz val="9"/>
        <color rgb="FF6B7280"/>
        <rFont val="DejaVu Sans"/>
        <family val="2"/>
      </rPr>
      <t xml:space="preserve">뉴스</t>
    </r>
    <r>
      <rPr>
        <i val="true"/>
        <sz val="9"/>
        <color rgb="FF6B7280"/>
        <rFont val="Arial"/>
        <family val="0"/>
        <charset val="1"/>
      </rPr>
      <t xml:space="preserve">, </t>
    </r>
    <r>
      <rPr>
        <i val="true"/>
        <sz val="9"/>
        <color rgb="FF6B7280"/>
        <rFont val="DejaVu Sans"/>
        <family val="2"/>
      </rPr>
      <t xml:space="preserve">그 외</t>
    </r>
    <r>
      <rPr>
        <i val="true"/>
        <sz val="9"/>
        <color rgb="FF6B7280"/>
        <rFont val="Arial"/>
        <family val="0"/>
        <charset val="1"/>
      </rPr>
      <t xml:space="preserve">=</t>
    </r>
    <r>
      <rPr>
        <i val="true"/>
        <sz val="9"/>
        <color rgb="FF6B7280"/>
        <rFont val="DejaVu Sans"/>
        <family val="2"/>
      </rPr>
      <t xml:space="preserve">국적별 매핑</t>
    </r>
    <r>
      <rPr>
        <i val="true"/>
        <sz val="9"/>
        <color rgb="FF6B7280"/>
        <rFont val="Arial"/>
        <family val="0"/>
        <charset val="1"/>
      </rPr>
      <t xml:space="preserve">(VLOOKUP)</t>
    </r>
  </si>
  <si>
    <t xml:space="preserve">중국</t>
  </si>
  <si>
    <r>
      <rPr>
        <sz val="11"/>
        <color theme="1"/>
        <rFont val="DejaVu Sans"/>
        <family val="2"/>
      </rPr>
      <t xml:space="preserve">중국거래소 공시 </t>
    </r>
    <r>
      <rPr>
        <sz val="11"/>
        <color theme="1"/>
        <rFont val="Calibri"/>
        <family val="2"/>
        <charset val="1"/>
      </rPr>
      <t xml:space="preserve">/ FMP</t>
    </r>
  </si>
  <si>
    <t xml:space="preserve">유럽</t>
  </si>
  <si>
    <r>
      <rPr>
        <sz val="11"/>
        <color theme="1"/>
        <rFont val="Calibri"/>
        <family val="2"/>
        <charset val="1"/>
      </rPr>
      <t xml:space="preserve">FMP / </t>
    </r>
    <r>
      <rPr>
        <sz val="11"/>
        <color theme="1"/>
        <rFont val="DejaVu Sans"/>
        <family val="2"/>
      </rPr>
      <t xml:space="preserve">현지공시</t>
    </r>
  </si>
  <si>
    <t xml:space="preserve">일본</t>
  </si>
  <si>
    <t xml:space="preserve">EDINET / FMP</t>
  </si>
  <si>
    <t xml:space="preserve">캐나다</t>
  </si>
  <si>
    <t xml:space="preserve">SEC EDGAR / FMP</t>
  </si>
  <si>
    <t xml:space="preserve">스위스</t>
  </si>
  <si>
    <t xml:space="preserve">독일</t>
  </si>
  <si>
    <t xml:space="preserve">스웨덴</t>
  </si>
  <si>
    <t xml:space="preserve">말레이시아</t>
  </si>
  <si>
    <r>
      <rPr>
        <sz val="11"/>
        <color theme="1"/>
        <rFont val="DejaVu Sans"/>
        <family val="2"/>
      </rPr>
      <t xml:space="preserve">뉴스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보도자료</t>
    </r>
  </si>
  <si>
    <t xml:space="preserve">기업명</t>
  </si>
  <si>
    <t xml:space="preserve">구분</t>
  </si>
  <si>
    <r>
      <rPr>
        <b val="true"/>
        <sz val="11"/>
        <color rgb="FFFFFFFF"/>
        <rFont val="DejaVu Sans"/>
        <family val="2"/>
      </rPr>
      <t xml:space="preserve">산업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제품</t>
    </r>
  </si>
  <si>
    <t xml:space="preserve">상장여부</t>
  </si>
  <si>
    <r>
      <rPr>
        <b val="true"/>
        <sz val="11"/>
        <color rgb="FFFFFFFF"/>
        <rFont val="DejaVu Sans"/>
        <family val="2"/>
      </rPr>
      <t xml:space="preserve">거래소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티커</t>
    </r>
  </si>
  <si>
    <t xml:space="preserve">에이스 관계</t>
  </si>
  <si>
    <r>
      <rPr>
        <b val="true"/>
        <sz val="11"/>
        <color rgb="FFFFFFFF"/>
        <rFont val="DejaVu Sans"/>
        <family val="2"/>
      </rPr>
      <t xml:space="preserve">데이터소스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</si>
  <si>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모니터링 등급</t>
  </si>
  <si>
    <t xml:space="preserve">비고</t>
  </si>
  <si>
    <t xml:space="preserve">Fluence Energy</t>
  </si>
  <si>
    <t xml:space="preserve">파트너</t>
  </si>
  <si>
    <r>
      <rPr>
        <sz val="10"/>
        <rFont val="Arial"/>
        <family val="0"/>
        <charset val="1"/>
      </rPr>
      <t xml:space="preserve">ESS </t>
    </r>
    <r>
      <rPr>
        <sz val="10"/>
        <rFont val="DejaVu Sans"/>
        <family val="2"/>
      </rPr>
      <t xml:space="preserve">시스템통합</t>
    </r>
    <r>
      <rPr>
        <sz val="10"/>
        <rFont val="Arial"/>
        <family val="0"/>
        <charset val="1"/>
      </rPr>
      <t xml:space="preserve">(SI)</t>
    </r>
  </si>
  <si>
    <t xml:space="preserve">상장</t>
  </si>
  <si>
    <t xml:space="preserve">NASDAQ:FLNC</t>
  </si>
  <si>
    <t xml:space="preserve">핵심 고객</t>
  </si>
  <si>
    <t xml:space="preserve">핵심</t>
  </si>
  <si>
    <r>
      <rPr>
        <sz val="10"/>
        <rFont val="DejaVu Sans"/>
        <family val="2"/>
      </rPr>
      <t xml:space="preserve">최대 고객 — 백로그</t>
    </r>
    <r>
      <rPr>
        <sz val="10"/>
        <rFont val="Arial"/>
        <family val="0"/>
        <charset val="1"/>
      </rPr>
      <t xml:space="preserve">=</t>
    </r>
    <r>
      <rPr>
        <sz val="10"/>
        <rFont val="DejaVu Sans"/>
        <family val="2"/>
      </rPr>
      <t xml:space="preserve">발주 선행지표</t>
    </r>
  </si>
  <si>
    <t xml:space="preserve">Powin</t>
  </si>
  <si>
    <t xml:space="preserve">ESS SI</t>
  </si>
  <si>
    <t xml:space="preserve">비상장</t>
  </si>
  <si>
    <t xml:space="preserve">-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</si>
  <si>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전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주요 고객</t>
    </r>
  </si>
  <si>
    <t xml:space="preserve">높음</t>
  </si>
  <si>
    <r>
      <rPr>
        <sz val="10"/>
        <rFont val="Arial"/>
        <family val="0"/>
        <charset val="1"/>
      </rPr>
      <t xml:space="preserve">2024 Chapter11 </t>
    </r>
    <r>
      <rPr>
        <sz val="10"/>
        <rFont val="DejaVu Sans"/>
        <family val="2"/>
      </rPr>
      <t xml:space="preserve">파산 — 집중리스크 현실화</t>
    </r>
  </si>
  <si>
    <t xml:space="preserve">AES</t>
  </si>
  <si>
    <r>
      <rPr>
        <sz val="10"/>
        <rFont val="DejaVu Sans"/>
        <family val="2"/>
      </rPr>
      <t xml:space="preserve">발전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디벨로퍼</t>
    </r>
  </si>
  <si>
    <t xml:space="preserve">NYSE:AES</t>
  </si>
  <si>
    <t xml:space="preserve">프로젝트 발주처</t>
  </si>
  <si>
    <t xml:space="preserve">중간</t>
  </si>
  <si>
    <r>
      <rPr>
        <sz val="10"/>
        <rFont val="Arial"/>
        <family val="0"/>
        <charset val="1"/>
      </rPr>
      <t xml:space="preserve">Fluence </t>
    </r>
    <r>
      <rPr>
        <sz val="10"/>
        <rFont val="DejaVu Sans"/>
        <family val="2"/>
      </rPr>
      <t xml:space="preserve">합작 모회사</t>
    </r>
  </si>
  <si>
    <t xml:space="preserve">Canadian Solar (e-Storage)</t>
  </si>
  <si>
    <r>
      <rPr>
        <sz val="10"/>
        <rFont val="DejaVu Sans"/>
        <family val="2"/>
      </rPr>
      <t xml:space="preserve">태양광</t>
    </r>
    <r>
      <rPr>
        <sz val="10"/>
        <rFont val="Arial"/>
        <family val="0"/>
        <charset val="1"/>
      </rPr>
      <t xml:space="preserve">·ESS</t>
    </r>
  </si>
  <si>
    <t xml:space="preserve">NASDAQ:CSIQ</t>
  </si>
  <si>
    <t xml:space="preserve">잠재 고객</t>
  </si>
  <si>
    <t xml:space="preserve">SolarEdge</t>
  </si>
  <si>
    <r>
      <rPr>
        <sz val="10"/>
        <rFont val="DejaVu Sans"/>
        <family val="2"/>
      </rPr>
      <t xml:space="preserve">인버터</t>
    </r>
    <r>
      <rPr>
        <sz val="10"/>
        <rFont val="Arial"/>
        <family val="0"/>
        <charset val="1"/>
      </rPr>
      <t xml:space="preserve">·ESS</t>
    </r>
  </si>
  <si>
    <t xml:space="preserve">NASDAQ:SEDG</t>
  </si>
  <si>
    <t xml:space="preserve">낮음</t>
  </si>
  <si>
    <t xml:space="preserve">GE Vernova</t>
  </si>
  <si>
    <t xml:space="preserve">발전설비</t>
  </si>
  <si>
    <t xml:space="preserve">NYSE:GEV</t>
  </si>
  <si>
    <t xml:space="preserve">Honeywell</t>
  </si>
  <si>
    <r>
      <rPr>
        <sz val="10"/>
        <rFont val="DejaVu Sans"/>
        <family val="2"/>
      </rPr>
      <t xml:space="preserve">산업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에너지</t>
    </r>
  </si>
  <si>
    <t xml:space="preserve">NASDAQ:HON</t>
  </si>
  <si>
    <t xml:space="preserve">Bloom Energy</t>
  </si>
  <si>
    <r>
      <rPr>
        <sz val="10"/>
        <rFont val="DejaVu Sans"/>
        <family val="2"/>
      </rPr>
      <t xml:space="preserve">연료전지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전력</t>
    </r>
  </si>
  <si>
    <t xml:space="preserve">NYSE:BE</t>
  </si>
  <si>
    <t xml:space="preserve">Caterpillar</t>
  </si>
  <si>
    <r>
      <rPr>
        <sz val="10"/>
        <rFont val="DejaVu Sans"/>
        <family val="2"/>
      </rPr>
      <t xml:space="preserve">발전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산업</t>
    </r>
  </si>
  <si>
    <t xml:space="preserve">NYSE:CAT</t>
  </si>
  <si>
    <t xml:space="preserve">Sumitomo Electric</t>
  </si>
  <si>
    <r>
      <rPr>
        <sz val="10"/>
        <rFont val="DejaVu Sans"/>
        <family val="2"/>
      </rPr>
      <t xml:space="preserve">전선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전력</t>
    </r>
  </si>
  <si>
    <t xml:space="preserve">TSE:5802</t>
  </si>
  <si>
    <t xml:space="preserve">TMEIC</t>
  </si>
  <si>
    <r>
      <rPr>
        <sz val="10"/>
        <rFont val="DejaVu Sans"/>
        <family val="2"/>
      </rPr>
      <t xml:space="preserve">인버터</t>
    </r>
    <r>
      <rPr>
        <sz val="10"/>
        <rFont val="Arial"/>
        <family val="0"/>
        <charset val="1"/>
      </rPr>
      <t xml:space="preserve">·PCS</t>
    </r>
  </si>
  <si>
    <t xml:space="preserve">합작사</t>
  </si>
  <si>
    <t xml:space="preserve">ABB</t>
  </si>
  <si>
    <r>
      <rPr>
        <sz val="10"/>
        <rFont val="DejaVu Sans"/>
        <family val="2"/>
      </rPr>
      <t xml:space="preserve">전력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자동화</t>
    </r>
  </si>
  <si>
    <t xml:space="preserve">SIX:ABBN</t>
  </si>
  <si>
    <t xml:space="preserve">Siemens</t>
  </si>
  <si>
    <r>
      <rPr>
        <sz val="10"/>
        <rFont val="DejaVu Sans"/>
        <family val="2"/>
      </rPr>
      <t xml:space="preserve">전력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산업</t>
    </r>
  </si>
  <si>
    <t xml:space="preserve">XETRA:SIE</t>
  </si>
  <si>
    <t xml:space="preserve">Samsung SDI</t>
  </si>
  <si>
    <t xml:space="preserve">배터리셀</t>
  </si>
  <si>
    <t xml:space="preserve">한국</t>
  </si>
  <si>
    <t xml:space="preserve">KOSPI:006400</t>
  </si>
  <si>
    <r>
      <rPr>
        <sz val="10"/>
        <rFont val="DejaVu Sans"/>
        <family val="2"/>
      </rPr>
      <t xml:space="preserve">셀 공급</t>
    </r>
    <r>
      <rPr>
        <sz val="10"/>
        <rFont val="Arial"/>
        <family val="0"/>
        <charset val="1"/>
      </rPr>
      <t xml:space="preserve">(coopetition)</t>
    </r>
  </si>
  <si>
    <t xml:space="preserve">외함 고객이자 셀 경쟁축</t>
  </si>
  <si>
    <t xml:space="preserve">LG Energy Solution</t>
  </si>
  <si>
    <t xml:space="preserve">KOSPI:373220</t>
  </si>
  <si>
    <t xml:space="preserve">SK on</t>
  </si>
  <si>
    <r>
      <rPr>
        <sz val="10"/>
        <rFont val="Arial"/>
        <family val="0"/>
        <charset val="1"/>
      </rPr>
      <t xml:space="preserve">SK</t>
    </r>
    <r>
      <rPr>
        <sz val="10"/>
        <rFont val="DejaVu Sans"/>
        <family val="2"/>
      </rPr>
      <t xml:space="preserve">이노 자회사</t>
    </r>
  </si>
  <si>
    <t xml:space="preserve">셀 공급</t>
  </si>
  <si>
    <r>
      <rPr>
        <sz val="10"/>
        <rFont val="Arial"/>
        <family val="0"/>
        <charset val="1"/>
      </rPr>
      <t xml:space="preserve">SK</t>
    </r>
    <r>
      <rPr>
        <sz val="10"/>
        <rFont val="DejaVu Sans"/>
        <family val="2"/>
      </rPr>
      <t xml:space="preserve">이노베이션 공시</t>
    </r>
  </si>
  <si>
    <t xml:space="preserve">KEPCO</t>
  </si>
  <si>
    <t xml:space="preserve">전력공사</t>
  </si>
  <si>
    <t xml:space="preserve">KOSPI:015760</t>
  </si>
  <si>
    <t xml:space="preserve">발주처</t>
  </si>
  <si>
    <t xml:space="preserve">LS Electric</t>
  </si>
  <si>
    <t xml:space="preserve">전력기기</t>
  </si>
  <si>
    <t xml:space="preserve">KOSPI:010120</t>
  </si>
  <si>
    <t xml:space="preserve">Hyosung Heavy</t>
  </si>
  <si>
    <t xml:space="preserve">중전기</t>
  </si>
  <si>
    <t xml:space="preserve">KOSPI</t>
  </si>
  <si>
    <t xml:space="preserve">Hanwha Energy</t>
  </si>
  <si>
    <r>
      <rPr>
        <sz val="10"/>
        <rFont val="DejaVu Sans"/>
        <family val="2"/>
      </rPr>
      <t xml:space="preserve">에너지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디벨로퍼</t>
    </r>
  </si>
  <si>
    <t xml:space="preserve">Envision AESC</t>
  </si>
  <si>
    <t xml:space="preserve">Northvolt</t>
  </si>
  <si>
    <r>
      <rPr>
        <sz val="10"/>
        <rFont val="Arial"/>
        <family val="0"/>
        <charset val="1"/>
      </rPr>
      <t xml:space="preserve">2024 </t>
    </r>
    <r>
      <rPr>
        <sz val="10"/>
        <rFont val="DejaVu Sans"/>
        <family val="2"/>
      </rPr>
      <t xml:space="preserve">자금난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파산 — 리스크 신호</t>
    </r>
  </si>
  <si>
    <t xml:space="preserve">CATL</t>
  </si>
  <si>
    <t xml:space="preserve">경쟁사</t>
  </si>
  <si>
    <r>
      <rPr>
        <sz val="10"/>
        <rFont val="DejaVu Sans"/>
        <family val="2"/>
      </rPr>
      <t xml:space="preserve">배터리</t>
    </r>
    <r>
      <rPr>
        <sz val="10"/>
        <rFont val="Arial"/>
        <family val="0"/>
        <charset val="1"/>
      </rPr>
      <t xml:space="preserve">+ESS </t>
    </r>
    <r>
      <rPr>
        <sz val="10"/>
        <rFont val="DejaVu Sans"/>
        <family val="2"/>
      </rPr>
      <t xml:space="preserve">일체</t>
    </r>
  </si>
  <si>
    <t xml:space="preserve">SZSE:300750</t>
  </si>
  <si>
    <r>
      <rPr>
        <sz val="10"/>
        <rFont val="DejaVu Sans"/>
        <family val="2"/>
      </rPr>
      <t xml:space="preserve">경쟁</t>
    </r>
    <r>
      <rPr>
        <sz val="10"/>
        <rFont val="Arial"/>
        <family val="0"/>
        <charset val="1"/>
      </rPr>
      <t xml:space="preserve">(+</t>
    </r>
    <r>
      <rPr>
        <sz val="10"/>
        <rFont val="DejaVu Sans"/>
        <family val="2"/>
      </rPr>
      <t xml:space="preserve">셀 고객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</si>
  <si>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글로벌 과반 — </t>
    </r>
    <r>
      <rPr>
        <sz val="10"/>
        <rFont val="Arial"/>
        <family val="0"/>
        <charset val="1"/>
      </rPr>
      <t xml:space="preserve">IRA</t>
    </r>
    <r>
      <rPr>
        <sz val="10"/>
        <rFont val="DejaVu Sans"/>
        <family val="2"/>
      </rPr>
      <t xml:space="preserve">로 미국 제한</t>
    </r>
  </si>
  <si>
    <t xml:space="preserve">BYD</t>
  </si>
  <si>
    <r>
      <rPr>
        <sz val="10"/>
        <rFont val="DejaVu Sans"/>
        <family val="2"/>
      </rPr>
      <t xml:space="preserve">배터리</t>
    </r>
    <r>
      <rPr>
        <sz val="10"/>
        <rFont val="Arial"/>
        <family val="0"/>
        <charset val="1"/>
      </rPr>
      <t xml:space="preserve">+ESS</t>
    </r>
  </si>
  <si>
    <t xml:space="preserve">SZSE:002594</t>
  </si>
  <si>
    <t xml:space="preserve">경쟁</t>
  </si>
  <si>
    <t xml:space="preserve">Sungrow</t>
  </si>
  <si>
    <t xml:space="preserve">PCS+ESS</t>
  </si>
  <si>
    <t xml:space="preserve">SZSE:300274</t>
  </si>
  <si>
    <t xml:space="preserve">TLS Energy</t>
  </si>
  <si>
    <r>
      <rPr>
        <sz val="10"/>
        <rFont val="Arial"/>
        <family val="0"/>
        <charset val="1"/>
      </rPr>
      <t xml:space="preserve">ESS </t>
    </r>
    <r>
      <rPr>
        <sz val="10"/>
        <rFont val="DejaVu Sans"/>
        <family val="2"/>
      </rPr>
      <t xml:space="preserve">인클로저</t>
    </r>
  </si>
  <si>
    <r>
      <rPr>
        <sz val="10"/>
        <rFont val="DejaVu Sans"/>
        <family val="2"/>
      </rPr>
      <t xml:space="preserve">직접 경쟁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동일 포지션</t>
    </r>
    <r>
      <rPr>
        <sz val="10"/>
        <rFont val="Arial"/>
        <family val="0"/>
        <charset val="1"/>
      </rPr>
      <t xml:space="preserve">)</t>
    </r>
  </si>
  <si>
    <t xml:space="preserve">가장 직접적 경쟁사</t>
  </si>
  <si>
    <t xml:space="preserve">Rittal</t>
  </si>
  <si>
    <r>
      <rPr>
        <sz val="10"/>
        <rFont val="DejaVu Sans"/>
        <family val="2"/>
      </rPr>
      <t xml:space="preserve">인클로저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캐비닛</t>
    </r>
  </si>
  <si>
    <t xml:space="preserve">부분 경쟁</t>
  </si>
  <si>
    <r>
      <rPr>
        <sz val="10"/>
        <rFont val="Arial"/>
        <family val="0"/>
        <charset val="1"/>
      </rPr>
      <t xml:space="preserve">Friedhelm Loh </t>
    </r>
    <r>
      <rPr>
        <sz val="10"/>
        <rFont val="DejaVu Sans"/>
        <family val="2"/>
      </rPr>
      <t xml:space="preserve">그룹</t>
    </r>
  </si>
  <si>
    <t xml:space="preserve">신성에스티</t>
  </si>
  <si>
    <r>
      <rPr>
        <sz val="10"/>
        <rFont val="DejaVu Sans"/>
        <family val="2"/>
      </rPr>
      <t xml:space="preserve">배터리부품</t>
    </r>
    <r>
      <rPr>
        <sz val="10"/>
        <rFont val="Arial"/>
        <family val="0"/>
        <charset val="1"/>
      </rPr>
      <t xml:space="preserve">·ESS</t>
    </r>
  </si>
  <si>
    <t xml:space="preserve">KOSDAQ</t>
  </si>
  <si>
    <t xml:space="preserve">국내 추격</t>
  </si>
  <si>
    <t xml:space="preserve">미국 켄터키 공장 증설</t>
  </si>
  <si>
    <t xml:space="preserve">구분별 집계</t>
  </si>
  <si>
    <t xml:space="preserve">건수</t>
  </si>
  <si>
    <t xml:space="preserve">국적별 집계</t>
  </si>
  <si>
    <r>
      <rPr>
        <sz val="11"/>
        <color theme="1"/>
        <rFont val="DejaVu Sans"/>
        <family val="2"/>
      </rPr>
      <t xml:space="preserve">유럽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기타</t>
    </r>
  </si>
  <si>
    <r>
      <rPr>
        <b val="true"/>
        <sz val="12"/>
        <color rgb="FF001D54"/>
        <rFont val="DejaVu Sans"/>
        <family val="2"/>
      </rPr>
      <t xml:space="preserve">출처 </t>
    </r>
    <r>
      <rPr>
        <b val="true"/>
        <sz val="12"/>
        <color rgb="FF001D54"/>
        <rFont val="Arial"/>
        <family val="0"/>
        <charset val="1"/>
      </rPr>
      <t xml:space="preserve">/ </t>
    </r>
    <r>
      <rPr>
        <b val="true"/>
        <sz val="12"/>
        <color rgb="FF001D54"/>
        <rFont val="DejaVu Sans"/>
        <family val="2"/>
      </rPr>
      <t xml:space="preserve">주석</t>
    </r>
  </si>
  <si>
    <r>
      <rPr>
        <sz val="10"/>
        <color rgb="FF374151"/>
        <rFont val="Arial"/>
        <family val="0"/>
        <charset val="1"/>
      </rPr>
      <t xml:space="preserve">· </t>
    </r>
    <r>
      <rPr>
        <sz val="10"/>
        <color rgb="FF374151"/>
        <rFont val="DejaVu Sans"/>
        <family val="2"/>
      </rPr>
      <t xml:space="preserve">기업 목록</t>
    </r>
    <r>
      <rPr>
        <sz val="10"/>
        <color rgb="FF374151"/>
        <rFont val="Arial"/>
        <family val="0"/>
        <charset val="1"/>
      </rPr>
      <t xml:space="preserve">: </t>
    </r>
    <r>
      <rPr>
        <sz val="10"/>
        <color rgb="FF374151"/>
        <rFont val="DejaVu Sans"/>
        <family val="2"/>
      </rPr>
      <t xml:space="preserve">에이스엔지니어링 홈페이지 파트너 페이지</t>
    </r>
    <r>
      <rPr>
        <sz val="10"/>
        <color rgb="FF374151"/>
        <rFont val="Arial"/>
        <family val="0"/>
        <charset val="1"/>
      </rPr>
      <t xml:space="preserve">(</t>
    </r>
    <r>
      <rPr>
        <sz val="10"/>
        <color rgb="FF374151"/>
        <rFont val="DejaVu Sans"/>
        <family val="2"/>
      </rPr>
      <t xml:space="preserve">공개</t>
    </r>
    <r>
      <rPr>
        <sz val="10"/>
        <color rgb="FF374151"/>
        <rFont val="Arial"/>
        <family val="0"/>
        <charset val="1"/>
      </rPr>
      <t xml:space="preserve">) + </t>
    </r>
    <r>
      <rPr>
        <sz val="10"/>
        <color rgb="FF374151"/>
        <rFont val="DejaVu Sans"/>
        <family val="2"/>
      </rPr>
      <t xml:space="preserve">사업기획 대시보드 경쟁사 정의</t>
    </r>
  </si>
  <si>
    <r>
      <rPr>
        <sz val="10"/>
        <color rgb="FF374151"/>
        <rFont val="Arial"/>
        <family val="0"/>
        <charset val="1"/>
      </rPr>
      <t xml:space="preserve">· </t>
    </r>
    <r>
      <rPr>
        <sz val="10"/>
        <color rgb="FF374151"/>
        <rFont val="DejaVu Sans"/>
        <family val="2"/>
      </rPr>
      <t xml:space="preserve">상장</t>
    </r>
    <r>
      <rPr>
        <sz val="10"/>
        <color rgb="FF374151"/>
        <rFont val="Arial"/>
        <family val="0"/>
        <charset val="1"/>
      </rPr>
      <t xml:space="preserve">·</t>
    </r>
    <r>
      <rPr>
        <sz val="10"/>
        <color rgb="FF374151"/>
        <rFont val="DejaVu Sans"/>
        <family val="2"/>
      </rPr>
      <t xml:space="preserve">티커</t>
    </r>
    <r>
      <rPr>
        <sz val="10"/>
        <color rgb="FF374151"/>
        <rFont val="Arial"/>
        <family val="0"/>
        <charset val="1"/>
      </rPr>
      <t xml:space="preserve">: 2025</t>
    </r>
    <r>
      <rPr>
        <sz val="10"/>
        <color rgb="FF374151"/>
        <rFont val="DejaVu Sans"/>
        <family val="2"/>
      </rPr>
      <t xml:space="preserve">년 공개정보 기준 추정 — 실제 업무 시 각 거래소</t>
    </r>
    <r>
      <rPr>
        <sz val="10"/>
        <color rgb="FF374151"/>
        <rFont val="Arial"/>
        <family val="0"/>
        <charset val="1"/>
      </rPr>
      <t xml:space="preserve">·DART/SEC</t>
    </r>
    <r>
      <rPr>
        <sz val="10"/>
        <color rgb="FF374151"/>
        <rFont val="DejaVu Sans"/>
        <family val="2"/>
      </rPr>
      <t xml:space="preserve">에서 재확인 필요</t>
    </r>
  </si>
  <si>
    <r>
      <rPr>
        <sz val="10"/>
        <color rgb="FF374151"/>
        <rFont val="Arial"/>
        <family val="0"/>
        <charset val="1"/>
      </rPr>
      <t xml:space="preserve">· </t>
    </r>
    <r>
      <rPr>
        <sz val="10"/>
        <color rgb="FF374151"/>
        <rFont val="DejaVu Sans"/>
        <family val="2"/>
      </rPr>
      <t xml:space="preserve">데이터소스</t>
    </r>
    <r>
      <rPr>
        <sz val="10"/>
        <color rgb="FF374151"/>
        <rFont val="Arial"/>
        <family val="0"/>
        <charset val="1"/>
      </rPr>
      <t xml:space="preserve">(H</t>
    </r>
    <r>
      <rPr>
        <sz val="10"/>
        <color rgb="FF374151"/>
        <rFont val="DejaVu Sans"/>
        <family val="2"/>
      </rPr>
      <t xml:space="preserve">열</t>
    </r>
    <r>
      <rPr>
        <sz val="10"/>
        <color rgb="FF374151"/>
        <rFont val="Arial"/>
        <family val="0"/>
        <charset val="1"/>
      </rPr>
      <t xml:space="preserve">): </t>
    </r>
    <r>
      <rPr>
        <sz val="10"/>
        <color rgb="FF374151"/>
        <rFont val="DejaVu Sans"/>
        <family val="2"/>
      </rPr>
      <t xml:space="preserve">한국</t>
    </r>
    <r>
      <rPr>
        <sz val="10"/>
        <color rgb="FF374151"/>
        <rFont val="Arial"/>
        <family val="0"/>
        <charset val="1"/>
      </rPr>
      <t xml:space="preserve">=DART, </t>
    </r>
    <r>
      <rPr>
        <sz val="10"/>
        <color rgb="FF374151"/>
        <rFont val="DejaVu Sans"/>
        <family val="2"/>
      </rPr>
      <t xml:space="preserve">미국 비상장</t>
    </r>
    <r>
      <rPr>
        <sz val="10"/>
        <color rgb="FF374151"/>
        <rFont val="Arial"/>
        <family val="0"/>
        <charset val="1"/>
      </rPr>
      <t xml:space="preserve">=</t>
    </r>
    <r>
      <rPr>
        <sz val="10"/>
        <color rgb="FF374151"/>
        <rFont val="DejaVu Sans"/>
        <family val="2"/>
      </rPr>
      <t xml:space="preserve">뉴스</t>
    </r>
    <r>
      <rPr>
        <sz val="10"/>
        <color rgb="FF374151"/>
        <rFont val="Arial"/>
        <family val="0"/>
        <charset val="1"/>
      </rPr>
      <t xml:space="preserve">, </t>
    </r>
    <r>
      <rPr>
        <sz val="10"/>
        <color rgb="FF374151"/>
        <rFont val="DejaVu Sans"/>
        <family val="2"/>
      </rPr>
      <t xml:space="preserve">그 외</t>
    </r>
    <r>
      <rPr>
        <sz val="10"/>
        <color rgb="FF374151"/>
        <rFont val="Arial"/>
        <family val="0"/>
        <charset val="1"/>
      </rPr>
      <t xml:space="preserve">=</t>
    </r>
    <r>
      <rPr>
        <sz val="10"/>
        <color rgb="FF374151"/>
        <rFont val="DejaVu Sans"/>
        <family val="2"/>
      </rPr>
      <t xml:space="preserve">국적별 매핑</t>
    </r>
    <r>
      <rPr>
        <sz val="10"/>
        <color rgb="FF374151"/>
        <rFont val="Arial"/>
        <family val="0"/>
        <charset val="1"/>
      </rPr>
      <t xml:space="preserve">(VLOOKUP) </t>
    </r>
    <r>
      <rPr>
        <sz val="10"/>
        <color rgb="FF374151"/>
        <rFont val="DejaVu Sans"/>
        <family val="2"/>
      </rPr>
      <t xml:space="preserve">자동 산출</t>
    </r>
  </si>
  <si>
    <r>
      <rPr>
        <sz val="10"/>
        <color rgb="FF374151"/>
        <rFont val="Arial"/>
        <family val="0"/>
        <charset val="1"/>
      </rPr>
      <t xml:space="preserve">· </t>
    </r>
    <r>
      <rPr>
        <sz val="10"/>
        <color rgb="FF374151"/>
        <rFont val="DejaVu Sans"/>
        <family val="2"/>
      </rPr>
      <t xml:space="preserve">모니터링 등급</t>
    </r>
    <r>
      <rPr>
        <sz val="10"/>
        <color rgb="FF374151"/>
        <rFont val="Arial"/>
        <family val="0"/>
        <charset val="1"/>
      </rPr>
      <t xml:space="preserve">: </t>
    </r>
    <r>
      <rPr>
        <sz val="10"/>
        <color rgb="FF374151"/>
        <rFont val="DejaVu Sans"/>
        <family val="2"/>
      </rPr>
      <t xml:space="preserve">에이스 수주영향</t>
    </r>
    <r>
      <rPr>
        <sz val="10"/>
        <color rgb="FF374151"/>
        <rFont val="Arial"/>
        <family val="0"/>
        <charset val="1"/>
      </rPr>
      <t xml:space="preserve">·</t>
    </r>
    <r>
      <rPr>
        <sz val="10"/>
        <color rgb="FF374151"/>
        <rFont val="DejaVu Sans"/>
        <family val="2"/>
      </rPr>
      <t xml:space="preserve">집중리스크 관점의 정성 평가</t>
    </r>
    <r>
      <rPr>
        <sz val="10"/>
        <color rgb="FF374151"/>
        <rFont val="Arial"/>
        <family val="0"/>
        <charset val="1"/>
      </rPr>
      <t xml:space="preserve">(</t>
    </r>
    <r>
      <rPr>
        <sz val="10"/>
        <color rgb="FF374151"/>
        <rFont val="DejaVu Sans"/>
        <family val="2"/>
      </rPr>
      <t xml:space="preserve">예시</t>
    </r>
    <r>
      <rPr>
        <sz val="10"/>
        <color rgb="FF374151"/>
        <rFont val="Arial"/>
        <family val="0"/>
        <charset val="1"/>
      </rPr>
      <t xml:space="preserve">)</t>
    </r>
  </si>
  <si>
    <r>
      <rPr>
        <sz val="10"/>
        <color rgb="FF374151"/>
        <rFont val="Arial"/>
        <family val="0"/>
        <charset val="1"/>
      </rPr>
      <t xml:space="preserve">· </t>
    </r>
    <r>
      <rPr>
        <sz val="10"/>
        <color rgb="FF374151"/>
        <rFont val="DejaVu Sans"/>
        <family val="2"/>
      </rPr>
      <t xml:space="preserve">활용</t>
    </r>
    <r>
      <rPr>
        <sz val="10"/>
        <color rgb="FF374151"/>
        <rFont val="Arial"/>
        <family val="0"/>
        <charset val="1"/>
      </rPr>
      <t xml:space="preserve">: </t>
    </r>
    <r>
      <rPr>
        <sz val="10"/>
        <color rgb="FF374151"/>
        <rFont val="DejaVu Sans"/>
        <family val="2"/>
      </rPr>
      <t xml:space="preserve">공개 파트너 건전성 </t>
    </r>
    <r>
      <rPr>
        <sz val="10"/>
        <color rgb="FF374151"/>
        <rFont val="Arial"/>
        <family val="0"/>
        <charset val="1"/>
      </rPr>
      <t xml:space="preserve">+ </t>
    </r>
    <r>
      <rPr>
        <sz val="10"/>
        <color rgb="FF374151"/>
        <rFont val="DejaVu Sans"/>
        <family val="2"/>
      </rPr>
      <t xml:space="preserve">경쟁사 동향 모니터링 → </t>
    </r>
    <r>
      <rPr>
        <sz val="10"/>
        <color rgb="FF374151"/>
        <rFont val="Arial"/>
        <family val="0"/>
        <charset val="1"/>
      </rPr>
      <t xml:space="preserve">'</t>
    </r>
    <r>
      <rPr>
        <sz val="10"/>
        <color rgb="FF374151"/>
        <rFont val="DejaVu Sans"/>
        <family val="2"/>
      </rPr>
      <t xml:space="preserve">제</t>
    </r>
    <r>
      <rPr>
        <sz val="10"/>
        <color rgb="FF374151"/>
        <rFont val="Arial"/>
        <family val="0"/>
        <charset val="1"/>
      </rPr>
      <t xml:space="preserve">2</t>
    </r>
    <r>
      <rPr>
        <sz val="10"/>
        <color rgb="FF374151"/>
        <rFont val="DejaVu Sans"/>
        <family val="2"/>
      </rPr>
      <t xml:space="preserve">의 </t>
    </r>
    <r>
      <rPr>
        <sz val="10"/>
        <color rgb="FF374151"/>
        <rFont val="Arial"/>
        <family val="0"/>
        <charset val="1"/>
      </rPr>
      <t xml:space="preserve">Powin' </t>
    </r>
    <r>
      <rPr>
        <sz val="10"/>
        <color rgb="FF374151"/>
        <rFont val="DejaVu Sans"/>
        <family val="2"/>
      </rPr>
      <t xml:space="preserve">조기경보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</si>
</sst>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DejaVu Sans"/>
      <family val="2"/>
    </font>
    <font>
      <i val="true"/>
      <sz val="9"/>
      <color rgb="FF6B7280"/>
      <name val="DejaVu Sans"/>
      <family val="2"/>
    </font>
    <font>
      <i val="true"/>
      <sz val="9"/>
      <color rgb="FF6B7280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2"/>
      <color rgb="FF001D54"/>
      <name val="DejaVu Sans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2"/>
      <color rgb="FF001D54"/>
      <name val="Arial"/>
      <family val="0"/>
      <charset val="1"/>
    </font>
    <font>
      <sz val="10"/>
      <color rgb="FF374151"/>
      <name val="Arial"/>
      <family val="0"/>
      <charset val="1"/>
    </font>
    <font>
      <sz val="10"/>
      <color rgb="FF374151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1D54"/>
        <bgColor rgb="FF000080"/>
      </patternFill>
    </fill>
    <fill>
      <patternFill patternType="solid">
        <fgColor rgb="FF0057B8"/>
        <bgColor rgb="FF1E40A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01D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FB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1D54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color rgb="FF1E40AF"/>
      </font>
      <fill>
        <patternFill>
          <bgColor rgb="FFE8F0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EF3C7"/>
      <rgbColor rgb="FFE8F0FB"/>
      <rgbColor rgb="FF660066"/>
      <rgbColor rgb="FFFF8080"/>
      <rgbColor rgb="FF0057B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EE"/>
      <rgbColor rgb="FFCCFFCC"/>
      <rgbColor rgb="FFFFFF99"/>
      <rgbColor rgb="FF99CCFF"/>
      <rgbColor rgb="FFFF99CC"/>
      <rgbColor rgb="FFCC99FF"/>
      <rgbColor rgb="FFFECACA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1D54"/>
      <rgbColor rgb="FF339966"/>
      <rgbColor rgb="FF003300"/>
      <rgbColor rgb="FF333300"/>
      <rgbColor rgb="FF92400E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모니터링 등급 분포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요약!E3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요약!$D$4:$D$7</c:f>
              <c:strCache>
                <c:ptCount val="4"/>
                <c:pt idx="0">
                  <c:v>핵심</c:v>
                </c:pt>
                <c:pt idx="1">
                  <c:v>높음</c:v>
                </c:pt>
                <c:pt idx="2">
                  <c:v>중간</c:v>
                </c:pt>
                <c:pt idx="3">
                  <c:v>낮음</c:v>
                </c:pt>
              </c:strCache>
            </c:strRef>
          </c:cat>
          <c:val>
            <c:numRef>
              <c:f>요약!$E$4:$E$7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14</c:v>
                </c:pt>
              </c:numCache>
            </c:numRef>
          </c:val>
        </c:ser>
        <c:gapWidth val="150"/>
        <c:overlap val="0"/>
        <c:axId val="43844113"/>
        <c:axId val="85428355"/>
      </c:barChart>
      <c:catAx>
        <c:axId val="43844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428355"/>
        <c:crosses val="autoZero"/>
        <c:auto val="1"/>
        <c:lblAlgn val="ctr"/>
        <c:lblOffset val="100"/>
        <c:noMultiLvlLbl val="0"/>
      </c:catAx>
      <c:valAx>
        <c:axId val="85428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8441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12</xdr:col>
      <xdr:colOff>290520</xdr:colOff>
      <xdr:row>15</xdr:row>
      <xdr:rowOff>42840</xdr:rowOff>
    </xdr:to>
    <xdr:graphicFrame>
      <xdr:nvGraphicFramePr>
        <xdr:cNvPr id="1" name="Chart 1"/>
        <xdr:cNvGraphicFramePr/>
      </xdr:nvGraphicFramePr>
      <xdr:xfrm>
        <a:off x="4324320" y="3808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0" t="s">
        <v>3</v>
      </c>
      <c r="D2" s="4" t="s">
        <v>4</v>
      </c>
    </row>
    <row r="3" customFormat="false" ht="15" hidden="false" customHeight="false" outlineLevel="0" collapsed="false">
      <c r="A3" s="3" t="s">
        <v>5</v>
      </c>
      <c r="B3" s="3" t="s">
        <v>6</v>
      </c>
    </row>
    <row r="4" customFormat="false" ht="15" hidden="false" customHeight="false" outlineLevel="0" collapsed="false">
      <c r="A4" s="3" t="s">
        <v>7</v>
      </c>
      <c r="B4" s="0" t="s">
        <v>8</v>
      </c>
    </row>
    <row r="5" customFormat="false" ht="15" hidden="false" customHeight="false" outlineLevel="0" collapsed="false">
      <c r="A5" s="3" t="s">
        <v>9</v>
      </c>
      <c r="B5" s="0" t="s">
        <v>10</v>
      </c>
    </row>
    <row r="6" customFormat="false" ht="15" hidden="false" customHeight="false" outlineLevel="0" collapsed="false">
      <c r="A6" s="3" t="s">
        <v>11</v>
      </c>
      <c r="B6" s="0" t="s">
        <v>12</v>
      </c>
    </row>
    <row r="7" customFormat="false" ht="15" hidden="false" customHeight="false" outlineLevel="0" collapsed="false">
      <c r="A7" s="3" t="s">
        <v>13</v>
      </c>
      <c r="B7" s="0" t="s">
        <v>8</v>
      </c>
    </row>
    <row r="8" customFormat="false" ht="15" hidden="false" customHeight="false" outlineLevel="0" collapsed="false">
      <c r="A8" s="3" t="s">
        <v>14</v>
      </c>
      <c r="B8" s="0" t="s">
        <v>8</v>
      </c>
    </row>
    <row r="9" customFormat="false" ht="15" hidden="false" customHeight="false" outlineLevel="0" collapsed="false">
      <c r="A9" s="3" t="s">
        <v>15</v>
      </c>
      <c r="B9" s="0" t="s">
        <v>8</v>
      </c>
    </row>
    <row r="10" customFormat="false" ht="15" hidden="false" customHeight="false" outlineLevel="0" collapsed="false">
      <c r="A10" s="3" t="s">
        <v>16</v>
      </c>
      <c r="B10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11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 customFormat="false" ht="15" hidden="false" customHeight="false" outlineLevel="0" collapsed="false">
      <c r="A2" s="6" t="s">
        <v>27</v>
      </c>
      <c r="B2" s="7" t="s">
        <v>28</v>
      </c>
      <c r="C2" s="6" t="s">
        <v>29</v>
      </c>
      <c r="D2" s="7" t="s">
        <v>2</v>
      </c>
      <c r="E2" s="7" t="s">
        <v>30</v>
      </c>
      <c r="F2" s="6" t="s">
        <v>31</v>
      </c>
      <c r="G2" s="7" t="s">
        <v>32</v>
      </c>
      <c r="H2" s="6" t="str">
        <f aca="false">IF(D2="한국","DART (전자공시)",IF(E2="비상장","뉴스·보도자료",IFERROR(VLOOKUP(D2,소스매핑!$A$2:$B$10,2,FALSE()),"FMP")))</f>
        <v>SEC EDGAR</v>
      </c>
      <c r="I2" s="7" t="s">
        <v>33</v>
      </c>
      <c r="J2" s="8" t="s">
        <v>34</v>
      </c>
    </row>
    <row r="3" customFormat="false" ht="23.85" hidden="false" customHeight="false" outlineLevel="0" collapsed="false">
      <c r="A3" s="6" t="s">
        <v>35</v>
      </c>
      <c r="B3" s="7" t="s">
        <v>28</v>
      </c>
      <c r="C3" s="6" t="s">
        <v>36</v>
      </c>
      <c r="D3" s="7" t="s">
        <v>2</v>
      </c>
      <c r="E3" s="7" t="s">
        <v>37</v>
      </c>
      <c r="F3" s="6" t="s">
        <v>38</v>
      </c>
      <c r="G3" s="6" t="s">
        <v>39</v>
      </c>
      <c r="H3" s="6" t="str">
        <f aca="false">IF(D3="한국","DART (전자공시)",IF(E3="비상장","뉴스·보도자료",IFERROR(VLOOKUP(D3,소스매핑!$A$2:$B$10,2,FALSE()),"FMP")))</f>
        <v>뉴스·보도자료</v>
      </c>
      <c r="I3" s="7" t="s">
        <v>40</v>
      </c>
      <c r="J3" s="9" t="s">
        <v>41</v>
      </c>
    </row>
    <row r="4" customFormat="false" ht="15" hidden="false" customHeight="false" outlineLevel="0" collapsed="false">
      <c r="A4" s="6" t="s">
        <v>42</v>
      </c>
      <c r="B4" s="7" t="s">
        <v>28</v>
      </c>
      <c r="C4" s="7" t="s">
        <v>43</v>
      </c>
      <c r="D4" s="7" t="s">
        <v>2</v>
      </c>
      <c r="E4" s="7" t="s">
        <v>30</v>
      </c>
      <c r="F4" s="6" t="s">
        <v>44</v>
      </c>
      <c r="G4" s="7" t="s">
        <v>45</v>
      </c>
      <c r="H4" s="6" t="str">
        <f aca="false">IF(D4="한국","DART (전자공시)",IF(E4="비상장","뉴스·보도자료",IFERROR(VLOOKUP(D4,소스매핑!$A$2:$B$10,2,FALSE()),"FMP")))</f>
        <v>SEC EDGAR</v>
      </c>
      <c r="I4" s="7" t="s">
        <v>46</v>
      </c>
      <c r="J4" s="9" t="s">
        <v>47</v>
      </c>
    </row>
    <row r="5" customFormat="false" ht="15" hidden="false" customHeight="false" outlineLevel="0" collapsed="false">
      <c r="A5" s="6" t="s">
        <v>48</v>
      </c>
      <c r="B5" s="7" t="s">
        <v>28</v>
      </c>
      <c r="C5" s="7" t="s">
        <v>49</v>
      </c>
      <c r="D5" s="7" t="s">
        <v>11</v>
      </c>
      <c r="E5" s="7" t="s">
        <v>30</v>
      </c>
      <c r="F5" s="6" t="s">
        <v>50</v>
      </c>
      <c r="G5" s="7" t="s">
        <v>51</v>
      </c>
      <c r="H5" s="6" t="str">
        <f aca="false">IF(D5="한국","DART (전자공시)",IF(E5="비상장","뉴스·보도자료",IFERROR(VLOOKUP(D5,소스매핑!$A$2:$B$10,2,FALSE()),"FMP")))</f>
        <v>SEC EDGAR / FMP</v>
      </c>
      <c r="I5" s="7" t="s">
        <v>46</v>
      </c>
      <c r="J5" s="9"/>
    </row>
    <row r="6" customFormat="false" ht="15" hidden="false" customHeight="false" outlineLevel="0" collapsed="false">
      <c r="A6" s="6" t="s">
        <v>52</v>
      </c>
      <c r="B6" s="7" t="s">
        <v>28</v>
      </c>
      <c r="C6" s="7" t="s">
        <v>53</v>
      </c>
      <c r="D6" s="7" t="s">
        <v>2</v>
      </c>
      <c r="E6" s="7" t="s">
        <v>30</v>
      </c>
      <c r="F6" s="6" t="s">
        <v>54</v>
      </c>
      <c r="G6" s="7" t="s">
        <v>51</v>
      </c>
      <c r="H6" s="6" t="str">
        <f aca="false">IF(D6="한국","DART (전자공시)",IF(E6="비상장","뉴스·보도자료",IFERROR(VLOOKUP(D6,소스매핑!$A$2:$B$10,2,FALSE()),"FMP")))</f>
        <v>SEC EDGAR</v>
      </c>
      <c r="I6" s="7" t="s">
        <v>55</v>
      </c>
      <c r="J6" s="9"/>
    </row>
    <row r="7" customFormat="false" ht="15" hidden="false" customHeight="false" outlineLevel="0" collapsed="false">
      <c r="A7" s="6" t="s">
        <v>56</v>
      </c>
      <c r="B7" s="7" t="s">
        <v>28</v>
      </c>
      <c r="C7" s="7" t="s">
        <v>57</v>
      </c>
      <c r="D7" s="7" t="s">
        <v>2</v>
      </c>
      <c r="E7" s="7" t="s">
        <v>30</v>
      </c>
      <c r="F7" s="6" t="s">
        <v>58</v>
      </c>
      <c r="G7" s="7" t="s">
        <v>51</v>
      </c>
      <c r="H7" s="6" t="str">
        <f aca="false">IF(D7="한국","DART (전자공시)",IF(E7="비상장","뉴스·보도자료",IFERROR(VLOOKUP(D7,소스매핑!$A$2:$B$10,2,FALSE()),"FMP")))</f>
        <v>SEC EDGAR</v>
      </c>
      <c r="I7" s="7" t="s">
        <v>55</v>
      </c>
      <c r="J7" s="9"/>
    </row>
    <row r="8" customFormat="false" ht="15" hidden="false" customHeight="false" outlineLevel="0" collapsed="false">
      <c r="A8" s="6" t="s">
        <v>59</v>
      </c>
      <c r="B8" s="7" t="s">
        <v>28</v>
      </c>
      <c r="C8" s="7" t="s">
        <v>60</v>
      </c>
      <c r="D8" s="7" t="s">
        <v>2</v>
      </c>
      <c r="E8" s="7" t="s">
        <v>30</v>
      </c>
      <c r="F8" s="6" t="s">
        <v>61</v>
      </c>
      <c r="G8" s="7" t="s">
        <v>51</v>
      </c>
      <c r="H8" s="6" t="str">
        <f aca="false">IF(D8="한국","DART (전자공시)",IF(E8="비상장","뉴스·보도자료",IFERROR(VLOOKUP(D8,소스매핑!$A$2:$B$10,2,FALSE()),"FMP")))</f>
        <v>SEC EDGAR</v>
      </c>
      <c r="I8" s="7" t="s">
        <v>55</v>
      </c>
      <c r="J8" s="9"/>
    </row>
    <row r="9" customFormat="false" ht="15" hidden="false" customHeight="false" outlineLevel="0" collapsed="false">
      <c r="A9" s="6" t="s">
        <v>62</v>
      </c>
      <c r="B9" s="7" t="s">
        <v>28</v>
      </c>
      <c r="C9" s="7" t="s">
        <v>63</v>
      </c>
      <c r="D9" s="7" t="s">
        <v>2</v>
      </c>
      <c r="E9" s="7" t="s">
        <v>30</v>
      </c>
      <c r="F9" s="6" t="s">
        <v>64</v>
      </c>
      <c r="G9" s="7" t="s">
        <v>51</v>
      </c>
      <c r="H9" s="6" t="str">
        <f aca="false">IF(D9="한국","DART (전자공시)",IF(E9="비상장","뉴스·보도자료",IFERROR(VLOOKUP(D9,소스매핑!$A$2:$B$10,2,FALSE()),"FMP")))</f>
        <v>SEC EDGAR</v>
      </c>
      <c r="I9" s="7" t="s">
        <v>55</v>
      </c>
      <c r="J9" s="9"/>
    </row>
    <row r="10" customFormat="false" ht="15" hidden="false" customHeight="false" outlineLevel="0" collapsed="false">
      <c r="A10" s="6" t="s">
        <v>65</v>
      </c>
      <c r="B10" s="7" t="s">
        <v>28</v>
      </c>
      <c r="C10" s="7" t="s">
        <v>66</v>
      </c>
      <c r="D10" s="7" t="s">
        <v>2</v>
      </c>
      <c r="E10" s="7" t="s">
        <v>30</v>
      </c>
      <c r="F10" s="6" t="s">
        <v>67</v>
      </c>
      <c r="G10" s="7" t="s">
        <v>51</v>
      </c>
      <c r="H10" s="6" t="str">
        <f aca="false">IF(D10="한국","DART (전자공시)",IF(E10="비상장","뉴스·보도자료",IFERROR(VLOOKUP(D10,소스매핑!$A$2:$B$10,2,FALSE()),"FMP")))</f>
        <v>SEC EDGAR</v>
      </c>
      <c r="I10" s="7" t="s">
        <v>55</v>
      </c>
      <c r="J10" s="9"/>
    </row>
    <row r="11" customFormat="false" ht="15" hidden="false" customHeight="false" outlineLevel="0" collapsed="false">
      <c r="A11" s="6" t="s">
        <v>68</v>
      </c>
      <c r="B11" s="7" t="s">
        <v>28</v>
      </c>
      <c r="C11" s="7" t="s">
        <v>69</v>
      </c>
      <c r="D11" s="7" t="s">
        <v>9</v>
      </c>
      <c r="E11" s="7" t="s">
        <v>30</v>
      </c>
      <c r="F11" s="6" t="s">
        <v>70</v>
      </c>
      <c r="G11" s="7" t="s">
        <v>51</v>
      </c>
      <c r="H11" s="6" t="str">
        <f aca="false">IF(D11="한국","DART (전자공시)",IF(E11="비상장","뉴스·보도자료",IFERROR(VLOOKUP(D11,소스매핑!$A$2:$B$10,2,FALSE()),"FMP")))</f>
        <v>EDINET / FMP</v>
      </c>
      <c r="I11" s="7" t="s">
        <v>55</v>
      </c>
      <c r="J11" s="9"/>
    </row>
    <row r="12" customFormat="false" ht="15" hidden="false" customHeight="false" outlineLevel="0" collapsed="false">
      <c r="A12" s="6" t="s">
        <v>71</v>
      </c>
      <c r="B12" s="7" t="s">
        <v>28</v>
      </c>
      <c r="C12" s="7" t="s">
        <v>72</v>
      </c>
      <c r="D12" s="7" t="s">
        <v>9</v>
      </c>
      <c r="E12" s="7" t="s">
        <v>37</v>
      </c>
      <c r="F12" s="6" t="s">
        <v>38</v>
      </c>
      <c r="G12" s="7" t="s">
        <v>51</v>
      </c>
      <c r="H12" s="6" t="str">
        <f aca="false">IF(D12="한국","DART (전자공시)",IF(E12="비상장","뉴스·보도자료",IFERROR(VLOOKUP(D12,소스매핑!$A$2:$B$10,2,FALSE()),"FMP")))</f>
        <v>뉴스·보도자료</v>
      </c>
      <c r="I12" s="7" t="s">
        <v>55</v>
      </c>
      <c r="J12" s="8" t="s">
        <v>73</v>
      </c>
    </row>
    <row r="13" customFormat="false" ht="15" hidden="false" customHeight="false" outlineLevel="0" collapsed="false">
      <c r="A13" s="6" t="s">
        <v>74</v>
      </c>
      <c r="B13" s="7" t="s">
        <v>28</v>
      </c>
      <c r="C13" s="7" t="s">
        <v>75</v>
      </c>
      <c r="D13" s="7" t="s">
        <v>13</v>
      </c>
      <c r="E13" s="7" t="s">
        <v>30</v>
      </c>
      <c r="F13" s="6" t="s">
        <v>76</v>
      </c>
      <c r="G13" s="7" t="s">
        <v>51</v>
      </c>
      <c r="H13" s="6" t="str">
        <f aca="false">IF(D13="한국","DART (전자공시)",IF(E13="비상장","뉴스·보도자료",IFERROR(VLOOKUP(D13,소스매핑!$A$2:$B$10,2,FALSE()),"FMP")))</f>
        <v>FMP / 현지공시</v>
      </c>
      <c r="I13" s="7" t="s">
        <v>55</v>
      </c>
      <c r="J13" s="9"/>
    </row>
    <row r="14" customFormat="false" ht="15" hidden="false" customHeight="false" outlineLevel="0" collapsed="false">
      <c r="A14" s="6" t="s">
        <v>77</v>
      </c>
      <c r="B14" s="7" t="s">
        <v>28</v>
      </c>
      <c r="C14" s="7" t="s">
        <v>78</v>
      </c>
      <c r="D14" s="7" t="s">
        <v>14</v>
      </c>
      <c r="E14" s="7" t="s">
        <v>30</v>
      </c>
      <c r="F14" s="6" t="s">
        <v>79</v>
      </c>
      <c r="G14" s="7" t="s">
        <v>51</v>
      </c>
      <c r="H14" s="6" t="str">
        <f aca="false">IF(D14="한국","DART (전자공시)",IF(E14="비상장","뉴스·보도자료",IFERROR(VLOOKUP(D14,소스매핑!$A$2:$B$10,2,FALSE()),"FMP")))</f>
        <v>FMP / 현지공시</v>
      </c>
      <c r="I14" s="7" t="s">
        <v>55</v>
      </c>
      <c r="J14" s="9"/>
    </row>
    <row r="15" customFormat="false" ht="15" hidden="false" customHeight="false" outlineLevel="0" collapsed="false">
      <c r="A15" s="6" t="s">
        <v>80</v>
      </c>
      <c r="B15" s="7" t="s">
        <v>28</v>
      </c>
      <c r="C15" s="7" t="s">
        <v>81</v>
      </c>
      <c r="D15" s="7" t="s">
        <v>82</v>
      </c>
      <c r="E15" s="7" t="s">
        <v>30</v>
      </c>
      <c r="F15" s="6" t="s">
        <v>83</v>
      </c>
      <c r="G15" s="7" t="s">
        <v>84</v>
      </c>
      <c r="H15" s="6" t="str">
        <f aca="false">IF(D15="한국","DART (전자공시)",IF(E15="비상장","뉴스·보도자료",IFERROR(VLOOKUP(D15,소스매핑!$A$2:$B$10,2,FALSE()),"FMP")))</f>
        <v>DART (전자공시)</v>
      </c>
      <c r="I15" s="7" t="s">
        <v>46</v>
      </c>
      <c r="J15" s="8" t="s">
        <v>85</v>
      </c>
    </row>
    <row r="16" customFormat="false" ht="15" hidden="false" customHeight="false" outlineLevel="0" collapsed="false">
      <c r="A16" s="6" t="s">
        <v>86</v>
      </c>
      <c r="B16" s="7" t="s">
        <v>28</v>
      </c>
      <c r="C16" s="7" t="s">
        <v>81</v>
      </c>
      <c r="D16" s="7" t="s">
        <v>82</v>
      </c>
      <c r="E16" s="7" t="s">
        <v>30</v>
      </c>
      <c r="F16" s="6" t="s">
        <v>87</v>
      </c>
      <c r="G16" s="7" t="s">
        <v>84</v>
      </c>
      <c r="H16" s="6" t="str">
        <f aca="false">IF(D16="한국","DART (전자공시)",IF(E16="비상장","뉴스·보도자료",IFERROR(VLOOKUP(D16,소스매핑!$A$2:$B$10,2,FALSE()),"FMP")))</f>
        <v>DART (전자공시)</v>
      </c>
      <c r="I16" s="7" t="s">
        <v>46</v>
      </c>
      <c r="J16" s="9"/>
    </row>
    <row r="17" customFormat="false" ht="15" hidden="false" customHeight="false" outlineLevel="0" collapsed="false">
      <c r="A17" s="6" t="s">
        <v>88</v>
      </c>
      <c r="B17" s="7" t="s">
        <v>28</v>
      </c>
      <c r="C17" s="7" t="s">
        <v>81</v>
      </c>
      <c r="D17" s="7" t="s">
        <v>82</v>
      </c>
      <c r="E17" s="7" t="s">
        <v>37</v>
      </c>
      <c r="F17" s="6" t="s">
        <v>89</v>
      </c>
      <c r="G17" s="7" t="s">
        <v>90</v>
      </c>
      <c r="H17" s="6" t="str">
        <f aca="false">IF(D17="한국","DART (전자공시)",IF(E17="비상장","뉴스·보도자료",IFERROR(VLOOKUP(D17,소스매핑!$A$2:$B$10,2,FALSE()),"FMP")))</f>
        <v>DART (전자공시)</v>
      </c>
      <c r="I17" s="7" t="s">
        <v>46</v>
      </c>
      <c r="J17" s="9" t="s">
        <v>91</v>
      </c>
    </row>
    <row r="18" customFormat="false" ht="15" hidden="false" customHeight="false" outlineLevel="0" collapsed="false">
      <c r="A18" s="6" t="s">
        <v>92</v>
      </c>
      <c r="B18" s="7" t="s">
        <v>28</v>
      </c>
      <c r="C18" s="7" t="s">
        <v>93</v>
      </c>
      <c r="D18" s="7" t="s">
        <v>82</v>
      </c>
      <c r="E18" s="7" t="s">
        <v>30</v>
      </c>
      <c r="F18" s="6" t="s">
        <v>94</v>
      </c>
      <c r="G18" s="7" t="s">
        <v>95</v>
      </c>
      <c r="H18" s="6" t="str">
        <f aca="false">IF(D18="한국","DART (전자공시)",IF(E18="비상장","뉴스·보도자료",IFERROR(VLOOKUP(D18,소스매핑!$A$2:$B$10,2,FALSE()),"FMP")))</f>
        <v>DART (전자공시)</v>
      </c>
      <c r="I18" s="7" t="s">
        <v>55</v>
      </c>
      <c r="J18" s="9"/>
    </row>
    <row r="19" customFormat="false" ht="15" hidden="false" customHeight="false" outlineLevel="0" collapsed="false">
      <c r="A19" s="6" t="s">
        <v>96</v>
      </c>
      <c r="B19" s="7" t="s">
        <v>28</v>
      </c>
      <c r="C19" s="7" t="s">
        <v>97</v>
      </c>
      <c r="D19" s="7" t="s">
        <v>82</v>
      </c>
      <c r="E19" s="7" t="s">
        <v>30</v>
      </c>
      <c r="F19" s="6" t="s">
        <v>98</v>
      </c>
      <c r="G19" s="7" t="s">
        <v>51</v>
      </c>
      <c r="H19" s="6" t="str">
        <f aca="false">IF(D19="한국","DART (전자공시)",IF(E19="비상장","뉴스·보도자료",IFERROR(VLOOKUP(D19,소스매핑!$A$2:$B$10,2,FALSE()),"FMP")))</f>
        <v>DART (전자공시)</v>
      </c>
      <c r="I19" s="7" t="s">
        <v>55</v>
      </c>
      <c r="J19" s="9"/>
    </row>
    <row r="20" customFormat="false" ht="15" hidden="false" customHeight="false" outlineLevel="0" collapsed="false">
      <c r="A20" s="6" t="s">
        <v>99</v>
      </c>
      <c r="B20" s="7" t="s">
        <v>28</v>
      </c>
      <c r="C20" s="7" t="s">
        <v>100</v>
      </c>
      <c r="D20" s="7" t="s">
        <v>82</v>
      </c>
      <c r="E20" s="7" t="s">
        <v>30</v>
      </c>
      <c r="F20" s="6" t="s">
        <v>101</v>
      </c>
      <c r="G20" s="7" t="s">
        <v>51</v>
      </c>
      <c r="H20" s="6" t="str">
        <f aca="false">IF(D20="한국","DART (전자공시)",IF(E20="비상장","뉴스·보도자료",IFERROR(VLOOKUP(D20,소스매핑!$A$2:$B$10,2,FALSE()),"FMP")))</f>
        <v>DART (전자공시)</v>
      </c>
      <c r="I20" s="7" t="s">
        <v>55</v>
      </c>
      <c r="J20" s="9"/>
    </row>
    <row r="21" customFormat="false" ht="15" hidden="false" customHeight="false" outlineLevel="0" collapsed="false">
      <c r="A21" s="6" t="s">
        <v>102</v>
      </c>
      <c r="B21" s="7" t="s">
        <v>28</v>
      </c>
      <c r="C21" s="7" t="s">
        <v>103</v>
      </c>
      <c r="D21" s="7" t="s">
        <v>82</v>
      </c>
      <c r="E21" s="7" t="s">
        <v>37</v>
      </c>
      <c r="F21" s="6" t="s">
        <v>38</v>
      </c>
      <c r="G21" s="7" t="s">
        <v>95</v>
      </c>
      <c r="H21" s="6" t="str">
        <f aca="false">IF(D21="한국","DART (전자공시)",IF(E21="비상장","뉴스·보도자료",IFERROR(VLOOKUP(D21,소스매핑!$A$2:$B$10,2,FALSE()),"FMP")))</f>
        <v>DART (전자공시)</v>
      </c>
      <c r="I21" s="7" t="s">
        <v>55</v>
      </c>
      <c r="J21" s="9"/>
    </row>
    <row r="22" customFormat="false" ht="15" hidden="false" customHeight="false" outlineLevel="0" collapsed="false">
      <c r="A22" s="6" t="s">
        <v>104</v>
      </c>
      <c r="B22" s="7" t="s">
        <v>28</v>
      </c>
      <c r="C22" s="7" t="s">
        <v>81</v>
      </c>
      <c r="D22" s="7" t="s">
        <v>5</v>
      </c>
      <c r="E22" s="7" t="s">
        <v>37</v>
      </c>
      <c r="F22" s="6" t="s">
        <v>38</v>
      </c>
      <c r="G22" s="7" t="s">
        <v>90</v>
      </c>
      <c r="H22" s="6" t="str">
        <f aca="false">IF(D22="한국","DART (전자공시)",IF(E22="비상장","뉴스·보도자료",IFERROR(VLOOKUP(D22,소스매핑!$A$2:$B$10,2,FALSE()),"FMP")))</f>
        <v>뉴스·보도자료</v>
      </c>
      <c r="I22" s="7" t="s">
        <v>46</v>
      </c>
      <c r="J22" s="9"/>
    </row>
    <row r="23" customFormat="false" ht="15" hidden="false" customHeight="false" outlineLevel="0" collapsed="false">
      <c r="A23" s="6" t="s">
        <v>105</v>
      </c>
      <c r="B23" s="7" t="s">
        <v>28</v>
      </c>
      <c r="C23" s="7" t="s">
        <v>81</v>
      </c>
      <c r="D23" s="7" t="s">
        <v>15</v>
      </c>
      <c r="E23" s="7" t="s">
        <v>37</v>
      </c>
      <c r="F23" s="6" t="s">
        <v>38</v>
      </c>
      <c r="G23" s="7" t="s">
        <v>90</v>
      </c>
      <c r="H23" s="6" t="str">
        <f aca="false">IF(D23="한국","DART (전자공시)",IF(E23="비상장","뉴스·보도자료",IFERROR(VLOOKUP(D23,소스매핑!$A$2:$B$10,2,FALSE()),"FMP")))</f>
        <v>뉴스·보도자료</v>
      </c>
      <c r="I23" s="7" t="s">
        <v>40</v>
      </c>
      <c r="J23" s="9" t="s">
        <v>106</v>
      </c>
    </row>
    <row r="24" customFormat="false" ht="15" hidden="false" customHeight="false" outlineLevel="0" collapsed="false">
      <c r="A24" s="6" t="s">
        <v>107</v>
      </c>
      <c r="B24" s="7" t="s">
        <v>108</v>
      </c>
      <c r="C24" s="7" t="s">
        <v>109</v>
      </c>
      <c r="D24" s="7" t="s">
        <v>5</v>
      </c>
      <c r="E24" s="7" t="s">
        <v>30</v>
      </c>
      <c r="F24" s="6" t="s">
        <v>110</v>
      </c>
      <c r="G24" s="7" t="s">
        <v>111</v>
      </c>
      <c r="H24" s="6" t="str">
        <f aca="false">IF(D24="한국","DART (전자공시)",IF(E24="비상장","뉴스·보도자료",IFERROR(VLOOKUP(D24,소스매핑!$A$2:$B$10,2,FALSE()),"FMP")))</f>
        <v>중국거래소 공시 / FMP</v>
      </c>
      <c r="I24" s="7" t="s">
        <v>40</v>
      </c>
      <c r="J24" s="8" t="s">
        <v>112</v>
      </c>
    </row>
    <row r="25" customFormat="false" ht="15" hidden="false" customHeight="false" outlineLevel="0" collapsed="false">
      <c r="A25" s="6" t="s">
        <v>113</v>
      </c>
      <c r="B25" s="7" t="s">
        <v>108</v>
      </c>
      <c r="C25" s="7" t="s">
        <v>114</v>
      </c>
      <c r="D25" s="7" t="s">
        <v>5</v>
      </c>
      <c r="E25" s="7" t="s">
        <v>30</v>
      </c>
      <c r="F25" s="6" t="s">
        <v>115</v>
      </c>
      <c r="G25" s="7" t="s">
        <v>116</v>
      </c>
      <c r="H25" s="6" t="str">
        <f aca="false">IF(D25="한국","DART (전자공시)",IF(E25="비상장","뉴스·보도자료",IFERROR(VLOOKUP(D25,소스매핑!$A$2:$B$10,2,FALSE()),"FMP")))</f>
        <v>중국거래소 공시 / FMP</v>
      </c>
      <c r="I25" s="7" t="s">
        <v>40</v>
      </c>
      <c r="J25" s="9"/>
    </row>
    <row r="26" customFormat="false" ht="15" hidden="false" customHeight="false" outlineLevel="0" collapsed="false">
      <c r="A26" s="6" t="s">
        <v>117</v>
      </c>
      <c r="B26" s="7" t="s">
        <v>108</v>
      </c>
      <c r="C26" s="6" t="s">
        <v>118</v>
      </c>
      <c r="D26" s="7" t="s">
        <v>5</v>
      </c>
      <c r="E26" s="7" t="s">
        <v>30</v>
      </c>
      <c r="F26" s="6" t="s">
        <v>119</v>
      </c>
      <c r="G26" s="7" t="s">
        <v>116</v>
      </c>
      <c r="H26" s="6" t="str">
        <f aca="false">IF(D26="한국","DART (전자공시)",IF(E26="비상장","뉴스·보도자료",IFERROR(VLOOKUP(D26,소스매핑!$A$2:$B$10,2,FALSE()),"FMP")))</f>
        <v>중국거래소 공시 / FMP</v>
      </c>
      <c r="I26" s="7" t="s">
        <v>40</v>
      </c>
      <c r="J26" s="9"/>
    </row>
    <row r="27" customFormat="false" ht="15" hidden="false" customHeight="false" outlineLevel="0" collapsed="false">
      <c r="A27" s="6" t="s">
        <v>120</v>
      </c>
      <c r="B27" s="7" t="s">
        <v>108</v>
      </c>
      <c r="C27" s="6" t="s">
        <v>121</v>
      </c>
      <c r="D27" s="7" t="s">
        <v>16</v>
      </c>
      <c r="E27" s="7" t="s">
        <v>37</v>
      </c>
      <c r="F27" s="6" t="s">
        <v>38</v>
      </c>
      <c r="G27" s="7" t="s">
        <v>122</v>
      </c>
      <c r="H27" s="6" t="str">
        <f aca="false">IF(D27="한국","DART (전자공시)",IF(E27="비상장","뉴스·보도자료",IFERROR(VLOOKUP(D27,소스매핑!$A$2:$B$10,2,FALSE()),"FMP")))</f>
        <v>뉴스·보도자료</v>
      </c>
      <c r="I27" s="7" t="s">
        <v>40</v>
      </c>
      <c r="J27" s="8" t="s">
        <v>123</v>
      </c>
    </row>
    <row r="28" customFormat="false" ht="15" hidden="false" customHeight="false" outlineLevel="0" collapsed="false">
      <c r="A28" s="6" t="s">
        <v>124</v>
      </c>
      <c r="B28" s="7" t="s">
        <v>108</v>
      </c>
      <c r="C28" s="7" t="s">
        <v>125</v>
      </c>
      <c r="D28" s="7" t="s">
        <v>14</v>
      </c>
      <c r="E28" s="7" t="s">
        <v>37</v>
      </c>
      <c r="F28" s="6" t="s">
        <v>38</v>
      </c>
      <c r="G28" s="7" t="s">
        <v>126</v>
      </c>
      <c r="H28" s="6" t="str">
        <f aca="false">IF(D28="한국","DART (전자공시)",IF(E28="비상장","뉴스·보도자료",IFERROR(VLOOKUP(D28,소스매핑!$A$2:$B$10,2,FALSE()),"FMP")))</f>
        <v>뉴스·보도자료</v>
      </c>
      <c r="I28" s="7" t="s">
        <v>55</v>
      </c>
      <c r="J28" s="9" t="s">
        <v>127</v>
      </c>
    </row>
    <row r="29" customFormat="false" ht="15" hidden="false" customHeight="false" outlineLevel="0" collapsed="false">
      <c r="A29" s="7" t="s">
        <v>128</v>
      </c>
      <c r="B29" s="7" t="s">
        <v>108</v>
      </c>
      <c r="C29" s="7" t="s">
        <v>129</v>
      </c>
      <c r="D29" s="7" t="s">
        <v>82</v>
      </c>
      <c r="E29" s="7" t="s">
        <v>30</v>
      </c>
      <c r="F29" s="6" t="s">
        <v>130</v>
      </c>
      <c r="G29" s="7" t="s">
        <v>131</v>
      </c>
      <c r="H29" s="6" t="str">
        <f aca="false">IF(D29="한국","DART (전자공시)",IF(E29="비상장","뉴스·보도자료",IFERROR(VLOOKUP(D29,소스매핑!$A$2:$B$10,2,FALSE()),"FMP")))</f>
        <v>DART (전자공시)</v>
      </c>
      <c r="I29" s="7" t="s">
        <v>46</v>
      </c>
      <c r="J29" s="8" t="s">
        <v>132</v>
      </c>
    </row>
  </sheetData>
  <autoFilter ref="A1:J29"/>
  <conditionalFormatting sqref="I2:I29">
    <cfRule type="cellIs" priority="2" operator="equal" aboveAverage="0" equalAverage="0" bottom="0" percent="0" rank="0" text="" dxfId="9">
      <formula>"핵심"</formula>
    </cfRule>
    <cfRule type="cellIs" priority="3" operator="equal" aboveAverage="0" equalAverage="0" bottom="0" percent="0" rank="0" text="" dxfId="10">
      <formula>"높음"</formula>
    </cfRule>
    <cfRule type="cellIs" priority="4" operator="equal" aboveAverage="0" equalAverage="0" bottom="0" percent="0" rank="0" text="" dxfId="11">
      <formula>"중간"</formula>
    </cfRule>
    <cfRule type="cellIs" priority="5" operator="equal" aboveAverage="0" equalAverage="0" bottom="0" percent="0" rank="0" text="" dxfId="12">
      <formula>"낮음"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0" t="s">
        <v>133</v>
      </c>
    </row>
    <row r="3" customFormat="false" ht="15" hidden="false" customHeight="false" outlineLevel="0" collapsed="false">
      <c r="A3" s="11" t="s">
        <v>19</v>
      </c>
      <c r="B3" s="11" t="s">
        <v>134</v>
      </c>
      <c r="D3" s="11" t="s">
        <v>25</v>
      </c>
      <c r="E3" s="11" t="s">
        <v>134</v>
      </c>
    </row>
    <row r="4" customFormat="false" ht="15" hidden="false" customHeight="false" outlineLevel="0" collapsed="false">
      <c r="A4" s="3" t="s">
        <v>28</v>
      </c>
      <c r="B4" s="0" t="n">
        <f aca="false">COUNTIF(워치리스트!$B$2:$B$29,A4)</f>
        <v>22</v>
      </c>
      <c r="D4" s="3" t="s">
        <v>33</v>
      </c>
      <c r="E4" s="0" t="n">
        <f aca="false">COUNTIF(워치리스트!$I$2:$I$29,D4)</f>
        <v>1</v>
      </c>
    </row>
    <row r="5" customFormat="false" ht="15" hidden="false" customHeight="false" outlineLevel="0" collapsed="false">
      <c r="A5" s="3" t="s">
        <v>108</v>
      </c>
      <c r="B5" s="0" t="n">
        <f aca="false">COUNTIF(워치리스트!$B$2:$B$29,A5)</f>
        <v>6</v>
      </c>
      <c r="D5" s="3" t="s">
        <v>40</v>
      </c>
      <c r="E5" s="0" t="n">
        <f aca="false">COUNTIF(워치리스트!$I$2:$I$29,D5)</f>
        <v>6</v>
      </c>
    </row>
    <row r="6" customFormat="false" ht="15" hidden="false" customHeight="false" outlineLevel="0" collapsed="false">
      <c r="D6" s="3" t="s">
        <v>46</v>
      </c>
      <c r="E6" s="0" t="n">
        <f aca="false">COUNTIF(워치리스트!$I$2:$I$29,D6)</f>
        <v>7</v>
      </c>
    </row>
    <row r="7" customFormat="false" ht="15" hidden="false" customHeight="false" outlineLevel="0" collapsed="false">
      <c r="D7" s="3" t="s">
        <v>55</v>
      </c>
      <c r="E7" s="0" t="n">
        <f aca="false">COUNTIF(워치리스트!$I$2:$I$29,D7)</f>
        <v>14</v>
      </c>
    </row>
    <row r="8" customFormat="false" ht="15" hidden="false" customHeight="false" outlineLevel="0" collapsed="false">
      <c r="A8" s="10" t="s">
        <v>135</v>
      </c>
    </row>
    <row r="9" customFormat="false" ht="15" hidden="false" customHeight="false" outlineLevel="0" collapsed="false">
      <c r="A9" s="11" t="s">
        <v>0</v>
      </c>
      <c r="B9" s="11" t="s">
        <v>134</v>
      </c>
    </row>
    <row r="10" customFormat="false" ht="15" hidden="false" customHeight="false" outlineLevel="0" collapsed="false">
      <c r="A10" s="3" t="s">
        <v>82</v>
      </c>
      <c r="B10" s="0" t="n">
        <f aca="false">COUNTIF(워치리스트!$D$2:$D$29,"한국")</f>
        <v>8</v>
      </c>
    </row>
    <row r="11" customFormat="false" ht="15" hidden="false" customHeight="false" outlineLevel="0" collapsed="false">
      <c r="A11" s="3" t="s">
        <v>2</v>
      </c>
      <c r="B11" s="0" t="n">
        <f aca="false">COUNTIF(워치리스트!$D$2:$D$29,"미국")</f>
        <v>8</v>
      </c>
    </row>
    <row r="12" customFormat="false" ht="15" hidden="false" customHeight="false" outlineLevel="0" collapsed="false">
      <c r="A12" s="3" t="s">
        <v>5</v>
      </c>
      <c r="B12" s="0" t="n">
        <f aca="false">COUNTIF(워치리스트!$D$2:$D$29,"중국")</f>
        <v>4</v>
      </c>
    </row>
    <row r="13" customFormat="false" ht="15" hidden="false" customHeight="false" outlineLevel="0" collapsed="false">
      <c r="A13" s="3" t="s">
        <v>9</v>
      </c>
      <c r="B13" s="0" t="n">
        <f aca="false">COUNTIF(워치리스트!$D$2:$D$29,"일본")</f>
        <v>2</v>
      </c>
    </row>
    <row r="14" customFormat="false" ht="15" hidden="false" customHeight="false" outlineLevel="0" collapsed="false">
      <c r="A14" s="3" t="s">
        <v>136</v>
      </c>
      <c r="B14" s="0" t="n">
        <f aca="false">COUNTA(워치리스트!$D$2:$D$29)-SUM(B10:B13)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0" t="s">
        <v>137</v>
      </c>
    </row>
    <row r="2" customFormat="false" ht="12.65" hidden="false" customHeight="false" outlineLevel="0" collapsed="false">
      <c r="A2" s="12" t="s">
        <v>138</v>
      </c>
    </row>
    <row r="3" customFormat="false" ht="12.65" hidden="false" customHeight="false" outlineLevel="0" collapsed="false">
      <c r="A3" s="12" t="s">
        <v>139</v>
      </c>
    </row>
    <row r="4" customFormat="false" ht="12.65" hidden="false" customHeight="false" outlineLevel="0" collapsed="false">
      <c r="A4" s="12" t="s">
        <v>140</v>
      </c>
    </row>
    <row r="5" customFormat="false" ht="12.65" hidden="false" customHeight="false" outlineLevel="0" collapsed="false">
      <c r="A5" s="12" t="s">
        <v>141</v>
      </c>
    </row>
    <row r="6" customFormat="false" ht="12.65" hidden="false" customHeight="false" outlineLevel="0" collapsed="false">
      <c r="A6" s="1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2026-06-09T07:27:00Z</dcterms:created>
  <dc:creator>openpyxl</dc:creator>
  <dc:description/>
  <dc:language>en-US</dc:language>
  <cp:lastModifiedBy/>
  <dcterms:modified xsi:type="dcterms:W3CDTF">2026-06-09T07:27:11Z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